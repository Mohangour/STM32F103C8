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mohan\Downloads\"/>
    </mc:Choice>
  </mc:AlternateContent>
  <xr:revisionPtr revIDLastSave="0" documentId="13_ncr:1_{2CE1092E-B961-43B7-A17F-F294D23574EB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3" i="1"/>
</calcChain>
</file>

<file path=xl/sharedStrings.xml><?xml version="1.0" encoding="utf-8"?>
<sst xmlns="http://schemas.openxmlformats.org/spreadsheetml/2006/main" count="79" uniqueCount="62">
  <si>
    <t>Product</t>
  </si>
  <si>
    <t>SKU</t>
  </si>
  <si>
    <t>Quantity</t>
  </si>
  <si>
    <t>Unit price</t>
  </si>
  <si>
    <t>Amount</t>
  </si>
  <si>
    <t>Link</t>
  </si>
  <si>
    <t>Vendor</t>
  </si>
  <si>
    <t>STM32F103C8 Chip</t>
  </si>
  <si>
    <t>ST2103SD0969</t>
  </si>
  <si>
    <r>
      <rPr>
        <u/>
        <sz val="10"/>
        <color rgb="FF1155CC"/>
        <rFont val="Arial"/>
      </rPr>
      <t>STM32F103C8T6 ARM Microcontroller - LQFP-48 Package | Sharvielectronics: Best Online Electronic Products Bangalore</t>
    </r>
  </si>
  <si>
    <t>sharvi electronics</t>
  </si>
  <si>
    <t>AS5600</t>
  </si>
  <si>
    <t>R182262</t>
  </si>
  <si>
    <r>
      <rPr>
        <u/>
        <sz val="10"/>
        <color rgb="FF1155CC"/>
        <rFont val="Arial"/>
      </rPr>
      <t>Buy Position Sensors Online in India | Robu.in</t>
    </r>
  </si>
  <si>
    <t>ROBU</t>
  </si>
  <si>
    <t>AMS1117-3.3</t>
  </si>
  <si>
    <t>R192461</t>
  </si>
  <si>
    <r>
      <rPr>
        <u/>
        <sz val="10"/>
        <color rgb="FF1155CC"/>
        <rFont val="Arial"/>
      </rPr>
      <t>Buy Now AMS1117-3.3 at Best Price</t>
    </r>
  </si>
  <si>
    <t>Crystal</t>
  </si>
  <si>
    <t>Ferrite bead</t>
  </si>
  <si>
    <t>Tactile switch</t>
  </si>
  <si>
    <t>LED</t>
  </si>
  <si>
    <t>Connector 1x04</t>
  </si>
  <si>
    <t>Connector 1x07</t>
  </si>
  <si>
    <t>Capacitor 10uF</t>
  </si>
  <si>
    <t xml:space="preserve">Capacitor 1uF </t>
  </si>
  <si>
    <t>Capacitor 22uF</t>
  </si>
  <si>
    <t>Capacitor 22pF</t>
  </si>
  <si>
    <t>Capacitor 100nF</t>
  </si>
  <si>
    <t>Resistor 1.5k</t>
  </si>
  <si>
    <t>Resistor 10k</t>
  </si>
  <si>
    <t>Resistor 4.7k</t>
  </si>
  <si>
    <t>Resistor 5.1k</t>
  </si>
  <si>
    <t>R143611</t>
  </si>
  <si>
    <t>ST2103SD1085</t>
  </si>
  <si>
    <t>R138662</t>
  </si>
  <si>
    <t>R139343</t>
  </si>
  <si>
    <t>R138075</t>
  </si>
  <si>
    <t>USB C</t>
  </si>
  <si>
    <t>ST2103SD2474</t>
  </si>
  <si>
    <t>R112448</t>
  </si>
  <si>
    <t> R132503</t>
  </si>
  <si>
    <t>R191776</t>
  </si>
  <si>
    <t>ST2136CO7400</t>
  </si>
  <si>
    <t>ST2136CO8038</t>
  </si>
  <si>
    <t>ST2136CO6063</t>
  </si>
  <si>
    <t>https://robu.in/product/c0603c106m9pactu-kemet-cap-smd-mlcc-10-%c2%b5f-6-3-v-0603-pack-of-1/</t>
  </si>
  <si>
    <t>https://robu.in/product/0603b104j500nt-fh-50v-100nf-x7r%c2%b15-0603-multilayer-ceramic-capacitors-mlcc-smd-smt-rohs/</t>
  </si>
  <si>
    <t>https://robu.in/product/1uf-1000nf-50v-capacitor-0603-smd-package-pack-of-20/</t>
  </si>
  <si>
    <t>https://robu.in/product/lmk107bbj226ma-t-taiyo-yuden-cap-smd-mlcc-22uf-10v-0603-pack-of-1/</t>
  </si>
  <si>
    <t>https://sharvielectronics.com/product/22pf-50v-%c2%b110-tolerance-capacitor-cc0603krnpo9bb220-0603-smd-package/</t>
  </si>
  <si>
    <t>https://sharvielectronics.com/product/mup-u23010-02-usb-type-c-receptacle-vertical-mount-usb-c-female-connector-16pin-6-5h/</t>
  </si>
  <si>
    <t>https://sharvielectronics.com/product/7050-5032-3225-smd-crystal-pcb-adapter/</t>
  </si>
  <si>
    <t>https://robu.in/product/blm18pg121sn1d-murata-ferrite-bead-0603-1608-metric-120-ohm-2-a-blm18p-0-05-ohm-%c2%b1-25/</t>
  </si>
  <si>
    <t>https://robu.in/product/kfc-003b-smd-tact-switch-2-pin4-2x6-1x2-5/</t>
  </si>
  <si>
    <t>https://robu.in/product/sml-lx0603gw-tr-lumex-sml-lx0603gw-tr-led-quasarbrite-green-smd-0603-20-ma-2-2-v-565-nm/</t>
  </si>
  <si>
    <t>https://robu.in/product/rc0603fr-071k5l-yageo-res-thick-film-0603-1-5k-ohm-1-0-1w1-10w-%c2%b1100ppm-c-pad-smd-t-r/</t>
  </si>
  <si>
    <t>https://robu.in/product/rc0603jr-0710kl-yageo-smd-chip-resistor/</t>
  </si>
  <si>
    <t>https://robu.in/product/rt0603brd074k7l-yageo-res-thin-film-0603-4-7k-ohm-0-1-0-1w1-10w-%c2%b125ppm-c-pad-smd-t-r/</t>
  </si>
  <si>
    <t>https://robu.in/product/ac0603jr-075k1l-yageo-res-thick-film-0603-5-1k-ohm-5-0-1w1-10w-%c2%b1100ppm-c-pad-smd-t-r-automotive-aec-q200/</t>
  </si>
  <si>
    <t>https://sharvielectronics.com/product/4x1-4pin-male-square-straight-header-connector-11mm-height-2-54mm-pitch/</t>
  </si>
  <si>
    <t>https://sharvielectronics.com/product/7x1-7pin-male-square-straight-header-connector-11mm-height-2-54mm-pitch/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</si>
</sst>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2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scheme val="minor"/>
    </font>
    <font>
      <u/>
      <sz val="10"/>
      <color rgb="FF0000FF"/>
      <name val="Roboto"/>
    </font>
    <font>
      <sz val="11"/>
      <color rgb="FF333E48"/>
      <name val="Inter"/>
    </font>
    <font>
      <u/>
      <sz val="10"/>
      <color rgb="FF1155CC"/>
      <name val="Arial"/>
    </font>
    <font>
      <u/>
      <sz val="10"/>
      <color theme="10"/>
      <name val="Arial"/>
      <scheme val="minor"/>
    </font>
    <font>
      <sz val="11"/>
      <color rgb="FF333E48"/>
      <name val="Arial"/>
      <family val="2"/>
      <scheme val="minor"/>
    </font>
    <font>
      <sz val="11"/>
      <color rgb="FF000000"/>
      <name val="Arial"/>
      <family val="2"/>
      <scheme val="minor"/>
    </font>
    <font>
      <sz val="11"/>
      <color rgb="FF777777"/>
      <name val="Arial"/>
      <family val="2"/>
      <scheme val="minor"/>
    </font>
    <font>
      <sz val="10"/>
      <color theme="1"/>
      <name val="Arial"/>
      <family val="2"/>
      <scheme val="minor"/>
    </font>
    <font>
      <sz val="11"/>
      <color rgb="FF000000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BE2D5"/>
        <bgColor rgb="FFFBE2D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9">
    <xf numFmtId="0" fontId="0" fillId="0" borderId="0" xfId="0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8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1" fillId="3" borderId="0" xfId="0" applyFont="1" applyFill="1"/>
    <xf numFmtId="0" fontId="11" fillId="0" borderId="0" xfId="0" applyFont="1"/>
    <xf numFmtId="0" fontId="2" fillId="0" borderId="0" xfId="0" applyFont="1" applyAlignment="1">
      <alignment horizontal="right" vertical="center"/>
    </xf>
    <xf numFmtId="0" fontId="7" fillId="3" borderId="0" xfId="0" applyFont="1" applyFill="1" applyAlignment="1">
      <alignment horizontal="right"/>
    </xf>
    <xf numFmtId="0" fontId="7" fillId="0" borderId="0" xfId="0" applyFont="1" applyAlignment="1">
      <alignment horizontal="right"/>
    </xf>
    <xf numFmtId="0" fontId="4" fillId="2" borderId="0" xfId="0" applyFont="1" applyFill="1" applyAlignment="1">
      <alignment horizontal="right" vertical="center"/>
    </xf>
    <xf numFmtId="0" fontId="9" fillId="3" borderId="0" xfId="0" applyFont="1" applyFill="1" applyAlignment="1">
      <alignment horizontal="right"/>
    </xf>
    <xf numFmtId="0" fontId="9" fillId="0" borderId="0" xfId="0" applyFont="1" applyAlignment="1">
      <alignment horizontal="right"/>
    </xf>
    <xf numFmtId="0" fontId="0" fillId="0" borderId="0" xfId="0" applyAlignment="1">
      <alignment horizontal="right"/>
    </xf>
    <xf numFmtId="0" fontId="6" fillId="0" borderId="0" xfId="1"/>
    <xf numFmtId="0" fontId="6" fillId="3" borderId="0" xfId="1" applyFill="1"/>
  </cellXfs>
  <cellStyles count="2">
    <cellStyle name="Hyperlink" xfId="1" builtinId="8"/>
    <cellStyle name="Normal" xfId="0" builtinId="0"/>
  </cellStyles>
  <dxfs count="5">
    <dxf>
      <alignment horizontal="right" textRotation="0" wrapText="0" indent="0" justifyLastLine="0" shrinkToFit="0" readingOrder="0"/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535FC1"/>
          <bgColor rgb="FF535FC1"/>
        </patternFill>
      </fill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</dxfs>
  <tableStyles count="1">
    <tableStyle name="Sheet1-style" pivot="0" count="4" xr9:uid="{00000000-0011-0000-FFFF-FFFF00000000}">
      <tableStyleElement type="wholeTable" size="0" dxfId="4"/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B2:H21">
  <tableColumns count="7">
    <tableColumn id="1" xr3:uid="{00000000-0010-0000-0000-000001000000}" name="Product"/>
    <tableColumn id="2" xr3:uid="{00000000-0010-0000-0000-000002000000}" name="SKU" dataDxfId="0"/>
    <tableColumn id="3" xr3:uid="{00000000-0010-0000-0000-000003000000}" name="Quantity"/>
    <tableColumn id="4" xr3:uid="{00000000-0010-0000-0000-000004000000}" name="Unit price"/>
    <tableColumn id="5" xr3:uid="{00000000-0010-0000-0000-000005000000}" name="Amount">
      <calculatedColumnFormula>Table1[[#This Row],[Unit price]]*Table1[[#This Row],[Quantity]]</calculatedColumnFormula>
    </tableColumn>
    <tableColumn id="6" xr3:uid="{00000000-0010-0000-0000-000006000000}" name="Link"/>
    <tableColumn id="7" xr3:uid="{00000000-0010-0000-0000-000007000000}" name="Vendor"/>
  </tableColumns>
  <tableStyleInfo name="Sheet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robu.in/product/ams1117-3-3-advanced-monolithic-systems-3-3v-1a-fixed-output-ldo-linear-voltage-regulator-4-pin-sot-223/" TargetMode="External"/><Relationship Id="rId2" Type="http://schemas.openxmlformats.org/officeDocument/2006/relationships/hyperlink" Target="https://robu.in/product/as5600-asom-ams-0360-soic-8-position-sensors-rohs/" TargetMode="External"/><Relationship Id="rId1" Type="http://schemas.openxmlformats.org/officeDocument/2006/relationships/hyperlink" Target="https://sharvielectronics.com/product/stm32f103c8t6-arm-microcontroller-lqfp-48-package/" TargetMode="External"/><Relationship Id="rId6" Type="http://schemas.openxmlformats.org/officeDocument/2006/relationships/table" Target="../tables/table1.xml"/><Relationship Id="rId5" Type="http://schemas.openxmlformats.org/officeDocument/2006/relationships/hyperlink" Target="https://robu.in/product/rc0603fr-071k5l-yageo-res-thick-film-0603-1-5k-ohm-1-0-1w1-10w-%c2%b1100ppm-c-pad-smd-t-r/" TargetMode="External"/><Relationship Id="rId4" Type="http://schemas.openxmlformats.org/officeDocument/2006/relationships/hyperlink" Target="https://robu.in/product/0603b104j500nt-fh-50v-100nf-x7r%c2%b15-0603-multilayer-ceramic-capacitors-mlcc-smd-smt-roh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2:H21"/>
  <sheetViews>
    <sheetView tabSelected="1" workbookViewId="0">
      <selection activeCell="I3" sqref="I3"/>
    </sheetView>
  </sheetViews>
  <sheetFormatPr defaultColWidth="12.59765625" defaultRowHeight="15.75" customHeight="1"/>
  <cols>
    <col min="2" max="2" width="20.796875" customWidth="1"/>
    <col min="3" max="3" width="21.19921875" style="16" customWidth="1"/>
    <col min="6" max="6" width="17.265625" customWidth="1"/>
    <col min="7" max="7" width="15.265625" customWidth="1"/>
    <col min="8" max="8" width="15.46484375" customWidth="1"/>
    <col min="9" max="9" width="17.46484375" customWidth="1"/>
    <col min="10" max="10" width="13.46484375" customWidth="1"/>
    <col min="11" max="11" width="11.46484375" customWidth="1"/>
    <col min="12" max="12" width="18.265625" customWidth="1"/>
  </cols>
  <sheetData>
    <row r="2" spans="1:8" ht="22.5" customHeight="1">
      <c r="A2" s="5"/>
      <c r="B2" s="6" t="s">
        <v>0</v>
      </c>
      <c r="C2" s="10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</row>
    <row r="3" spans="1:8" ht="22.5" customHeight="1">
      <c r="A3" s="5"/>
      <c r="B3" s="7" t="s">
        <v>7</v>
      </c>
      <c r="C3" s="10" t="s">
        <v>8</v>
      </c>
      <c r="D3" s="2">
        <v>1</v>
      </c>
      <c r="E3" s="2">
        <v>118.75</v>
      </c>
      <c r="F3" s="2">
        <f>Table1[[#This Row],[Unit price]]*Table1[[#This Row],[Quantity]]</f>
        <v>118.75</v>
      </c>
      <c r="G3" s="3" t="s">
        <v>9</v>
      </c>
      <c r="H3" s="4" t="s">
        <v>10</v>
      </c>
    </row>
    <row r="4" spans="1:8" ht="22.5" customHeight="1">
      <c r="B4" s="2" t="s">
        <v>11</v>
      </c>
      <c r="C4" s="10" t="s">
        <v>12</v>
      </c>
      <c r="D4" s="2">
        <v>1</v>
      </c>
      <c r="E4" s="2">
        <v>166</v>
      </c>
      <c r="F4" s="2">
        <f>Table1[[#This Row],[Unit price]]*Table1[[#This Row],[Quantity]]</f>
        <v>166</v>
      </c>
      <c r="G4" s="3" t="s">
        <v>13</v>
      </c>
      <c r="H4" s="4" t="s">
        <v>14</v>
      </c>
    </row>
    <row r="5" spans="1:8" ht="22.5" customHeight="1">
      <c r="B5" s="2" t="s">
        <v>29</v>
      </c>
      <c r="C5" s="11" t="s">
        <v>35</v>
      </c>
      <c r="D5" s="2">
        <v>1</v>
      </c>
      <c r="E5" s="2">
        <v>0.1</v>
      </c>
      <c r="F5" s="2">
        <f>Table1[[#This Row],[Unit price]]*Table1[[#This Row],[Quantity]]</f>
        <v>0.1</v>
      </c>
      <c r="G5" s="18" t="s">
        <v>56</v>
      </c>
      <c r="H5" s="2" t="s">
        <v>14</v>
      </c>
    </row>
    <row r="6" spans="1:8" ht="22.5" customHeight="1">
      <c r="B6" s="2" t="s">
        <v>30</v>
      </c>
      <c r="C6" s="12">
        <v>1872764</v>
      </c>
      <c r="D6" s="2">
        <v>2</v>
      </c>
      <c r="E6" s="2">
        <v>0.13</v>
      </c>
      <c r="F6" s="2">
        <f>Table1[[#This Row],[Unit price]]*Table1[[#This Row],[Quantity]]</f>
        <v>0.26</v>
      </c>
      <c r="G6" s="9" t="s">
        <v>57</v>
      </c>
      <c r="H6" s="2" t="s">
        <v>14</v>
      </c>
    </row>
    <row r="7" spans="1:8" ht="22.5" customHeight="1">
      <c r="B7" s="2" t="s">
        <v>31</v>
      </c>
      <c r="C7" s="12" t="s">
        <v>36</v>
      </c>
      <c r="D7" s="2">
        <v>2</v>
      </c>
      <c r="E7" s="2">
        <v>1.54</v>
      </c>
      <c r="F7" s="2">
        <f>Table1[[#This Row],[Unit price]]*Table1[[#This Row],[Quantity]]</f>
        <v>3.08</v>
      </c>
      <c r="G7" s="9" t="s">
        <v>58</v>
      </c>
      <c r="H7" s="2" t="s">
        <v>14</v>
      </c>
    </row>
    <row r="8" spans="1:8" ht="22.5" customHeight="1">
      <c r="B8" s="2" t="s">
        <v>32</v>
      </c>
      <c r="C8" s="11" t="s">
        <v>37</v>
      </c>
      <c r="D8" s="2">
        <v>2</v>
      </c>
      <c r="E8" s="2">
        <v>0.14000000000000001</v>
      </c>
      <c r="F8" s="2">
        <f>Table1[[#This Row],[Unit price]]*Table1[[#This Row],[Quantity]]</f>
        <v>0.28000000000000003</v>
      </c>
      <c r="G8" s="8" t="s">
        <v>59</v>
      </c>
      <c r="H8" s="2" t="s">
        <v>14</v>
      </c>
    </row>
    <row r="9" spans="1:8" ht="22.5" customHeight="1">
      <c r="B9" s="2" t="s">
        <v>25</v>
      </c>
      <c r="C9" s="13">
        <v>1415727</v>
      </c>
      <c r="D9" s="2">
        <v>3</v>
      </c>
      <c r="E9" s="8">
        <v>1.0900000000000001</v>
      </c>
      <c r="F9" s="2">
        <f>Table1[[#This Row],[Unit price]]*Table1[[#This Row],[Quantity]]</f>
        <v>3.2700000000000005</v>
      </c>
      <c r="G9" s="8" t="s">
        <v>48</v>
      </c>
      <c r="H9" s="2" t="s">
        <v>14</v>
      </c>
    </row>
    <row r="10" spans="1:8" ht="22.5" customHeight="1">
      <c r="B10" s="2" t="s">
        <v>24</v>
      </c>
      <c r="C10" s="11">
        <v>1544925</v>
      </c>
      <c r="D10" s="2">
        <v>2</v>
      </c>
      <c r="E10" s="2">
        <v>11</v>
      </c>
      <c r="F10" s="2">
        <f>Table1[[#This Row],[Unit price]]*Table1[[#This Row],[Quantity]]</f>
        <v>22</v>
      </c>
      <c r="G10" s="8" t="s">
        <v>46</v>
      </c>
      <c r="H10" s="4" t="s">
        <v>14</v>
      </c>
    </row>
    <row r="11" spans="1:8" ht="22.5" customHeight="1">
      <c r="B11" s="2" t="s">
        <v>26</v>
      </c>
      <c r="C11" s="12">
        <v>1545192</v>
      </c>
      <c r="D11" s="2">
        <v>2</v>
      </c>
      <c r="E11" s="9">
        <v>17</v>
      </c>
      <c r="F11" s="2">
        <f>Table1[[#This Row],[Unit price]]*Table1[[#This Row],[Quantity]]</f>
        <v>34</v>
      </c>
      <c r="G11" s="9" t="s">
        <v>49</v>
      </c>
      <c r="H11" s="2" t="s">
        <v>14</v>
      </c>
    </row>
    <row r="12" spans="1:8" ht="22.5" customHeight="1">
      <c r="B12" s="2" t="s">
        <v>28</v>
      </c>
      <c r="C12" s="12" t="s">
        <v>33</v>
      </c>
      <c r="D12" s="2">
        <v>6</v>
      </c>
      <c r="E12" s="2">
        <v>0.4</v>
      </c>
      <c r="F12" s="2">
        <f>Table1[[#This Row],[Unit price]]*Table1[[#This Row],[Quantity]]</f>
        <v>2.4000000000000004</v>
      </c>
      <c r="G12" s="17" t="s">
        <v>47</v>
      </c>
      <c r="H12" s="2" t="s">
        <v>14</v>
      </c>
    </row>
    <row r="13" spans="1:8" ht="22.5" customHeight="1">
      <c r="B13" s="2" t="s">
        <v>27</v>
      </c>
      <c r="C13" s="14" t="s">
        <v>34</v>
      </c>
      <c r="D13" s="2">
        <v>2</v>
      </c>
      <c r="E13" s="2">
        <v>0.74</v>
      </c>
      <c r="F13" s="2">
        <f>Table1[[#This Row],[Unit price]]*Table1[[#This Row],[Quantity]]</f>
        <v>1.48</v>
      </c>
      <c r="G13" s="8" t="s">
        <v>50</v>
      </c>
      <c r="H13" s="2" t="s">
        <v>10</v>
      </c>
    </row>
    <row r="14" spans="1:8" ht="22.5" customHeight="1">
      <c r="B14" s="2" t="s">
        <v>15</v>
      </c>
      <c r="C14" s="13" t="s">
        <v>16</v>
      </c>
      <c r="D14" s="2">
        <v>1</v>
      </c>
      <c r="E14" s="2">
        <v>25</v>
      </c>
      <c r="F14" s="2">
        <f>Table1[[#This Row],[Unit price]]*Table1[[#This Row],[Quantity]]</f>
        <v>25</v>
      </c>
      <c r="G14" s="3" t="s">
        <v>17</v>
      </c>
      <c r="H14" s="2" t="s">
        <v>14</v>
      </c>
    </row>
    <row r="15" spans="1:8" ht="22.5" customHeight="1">
      <c r="B15" s="4" t="s">
        <v>38</v>
      </c>
      <c r="C15" s="14" t="s">
        <v>39</v>
      </c>
      <c r="D15" s="2">
        <v>1</v>
      </c>
      <c r="E15" s="2">
        <v>28.75</v>
      </c>
      <c r="F15" s="2">
        <f>Table1[[#This Row],[Unit price]]*Table1[[#This Row],[Quantity]]</f>
        <v>28.75</v>
      </c>
      <c r="G15" s="8" t="s">
        <v>51</v>
      </c>
      <c r="H15" s="2" t="s">
        <v>10</v>
      </c>
    </row>
    <row r="16" spans="1:8" ht="22.5" customHeight="1">
      <c r="B16" s="2" t="s">
        <v>18</v>
      </c>
      <c r="C16" s="15" t="s">
        <v>45</v>
      </c>
      <c r="D16" s="2">
        <v>1</v>
      </c>
      <c r="E16" s="2">
        <v>12.75</v>
      </c>
      <c r="F16" s="2">
        <f>Table1[[#This Row],[Unit price]]*Table1[[#This Row],[Quantity]]</f>
        <v>12.75</v>
      </c>
      <c r="G16" s="9" t="s">
        <v>52</v>
      </c>
      <c r="H16" s="2" t="s">
        <v>10</v>
      </c>
    </row>
    <row r="17" spans="2:8" ht="22.5" customHeight="1">
      <c r="B17" s="2" t="s">
        <v>19</v>
      </c>
      <c r="C17" s="11" t="s">
        <v>40</v>
      </c>
      <c r="D17" s="2">
        <v>1</v>
      </c>
      <c r="E17" s="2">
        <v>1.02</v>
      </c>
      <c r="F17" s="2">
        <f>Table1[[#This Row],[Unit price]]*Table1[[#This Row],[Quantity]]</f>
        <v>1.02</v>
      </c>
      <c r="G17" s="8" t="s">
        <v>53</v>
      </c>
      <c r="H17" s="2" t="s">
        <v>14</v>
      </c>
    </row>
    <row r="18" spans="2:8" ht="22.5" customHeight="1">
      <c r="B18" s="2" t="s">
        <v>20</v>
      </c>
      <c r="C18" s="11" t="s">
        <v>41</v>
      </c>
      <c r="D18" s="2">
        <v>2</v>
      </c>
      <c r="E18" s="2">
        <v>1.8</v>
      </c>
      <c r="F18" s="2">
        <f>Table1[[#This Row],[Unit price]]*Table1[[#This Row],[Quantity]]</f>
        <v>3.6</v>
      </c>
      <c r="G18" s="8" t="s">
        <v>54</v>
      </c>
      <c r="H18" s="2" t="s">
        <v>14</v>
      </c>
    </row>
    <row r="19" spans="2:8" ht="22.5" customHeight="1">
      <c r="B19" s="2" t="s">
        <v>21</v>
      </c>
      <c r="C19" s="12" t="s">
        <v>42</v>
      </c>
      <c r="D19" s="2">
        <v>1</v>
      </c>
      <c r="E19" s="2">
        <v>0.97</v>
      </c>
      <c r="F19" s="2">
        <f>Table1[[#This Row],[Unit price]]*Table1[[#This Row],[Quantity]]</f>
        <v>0.97</v>
      </c>
      <c r="G19" s="9" t="s">
        <v>55</v>
      </c>
      <c r="H19" s="2" t="s">
        <v>14</v>
      </c>
    </row>
    <row r="20" spans="2:8" ht="22.5" customHeight="1">
      <c r="B20" s="2" t="s">
        <v>22</v>
      </c>
      <c r="C20" s="14" t="s">
        <v>43</v>
      </c>
      <c r="D20" s="2">
        <v>1</v>
      </c>
      <c r="E20" s="2">
        <v>8</v>
      </c>
      <c r="F20" s="2">
        <f>Table1[[#This Row],[Unit price]]*Table1[[#This Row],[Quantity]]</f>
        <v>8</v>
      </c>
      <c r="G20" s="8" t="s">
        <v>60</v>
      </c>
      <c r="H20" s="2" t="s">
        <v>10</v>
      </c>
    </row>
    <row r="21" spans="2:8" ht="22.5" customHeight="1">
      <c r="B21" s="2" t="s">
        <v>23</v>
      </c>
      <c r="C21" s="15" t="s">
        <v>44</v>
      </c>
      <c r="D21" s="2">
        <v>1</v>
      </c>
      <c r="E21" s="2">
        <v>8</v>
      </c>
      <c r="F21" s="2">
        <f>Table1[[#This Row],[Unit price]]*Table1[[#This Row],[Quantity]]</f>
        <v>8</v>
      </c>
      <c r="G21" s="9" t="s">
        <v>61</v>
      </c>
      <c r="H21" s="2" t="s">
        <v>10</v>
      </c>
    </row>
  </sheetData>
  <dataValidations count="1">
    <dataValidation type="custom" allowBlank="1" showDropDown="1" sqref="D3:D21 E12:E21 E3:E8 E10:F10 F3:F9 F11:F21" xr:uid="{00000000-0002-0000-0000-000000000000}">
      <formula1>AND(ISNUMBER(D3),(NOT(OR(NOT(ISERROR(DATEVALUE(D3))), AND(ISNUMBER(D3), LEFT(CELL("format", D3))="D")))))</formula1>
    </dataValidation>
  </dataValidations>
  <hyperlinks>
    <hyperlink ref="G3" r:id="rId1" xr:uid="{00000000-0004-0000-0000-000000000000}"/>
    <hyperlink ref="G4" r:id="rId2" xr:uid="{00000000-0004-0000-0000-000001000000}"/>
    <hyperlink ref="G14" r:id="rId3" xr:uid="{00000000-0004-0000-0000-000004000000}"/>
    <hyperlink ref="G12" r:id="rId4" xr:uid="{8FA7BA5D-98F2-400B-9B6D-FE1A337F2363}"/>
    <hyperlink ref="G5" r:id="rId5" xr:uid="{E0C2680C-01B6-46AC-B465-9B7803843913}"/>
  </hyperlinks>
  <printOptions horizontalCentered="1" gridLines="1"/>
  <pageMargins left="0.7" right="0.7" top="0.75" bottom="0.75" header="0" footer="0"/>
  <pageSetup pageOrder="overThenDown" orientation="landscape" cellComments="atEnd"/>
  <rowBreaks count="1" manualBreakCount="1">
    <brk id="1" man="1"/>
  </rowBreaks>
  <colBreaks count="1" manualBreakCount="1">
    <brk id="1" man="1"/>
  </colBreaks>
  <tableParts count="1"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MOHAN LAL GOUR - 251090060422 - MITMPL</cp:lastModifiedBy>
  <dcterms:modified xsi:type="dcterms:W3CDTF">2026-02-19T15:24:53Z</dcterms:modified>
</cp:coreProperties>
</file>